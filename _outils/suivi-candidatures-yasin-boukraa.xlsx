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ivi" sheetId="1" state="visible" r:id="rId1"/>
    <sheet xmlns:r="http://schemas.openxmlformats.org/officeDocument/2006/relationships" name="Bilan" sheetId="2" state="visible" r:id="rId2"/>
  </sheets>
  <definedNames>
    <definedName name="_xlnm._FilterDatabase" localSheetId="0" hidden="1">'Suivi'!$A$4:$M$20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color rgb="00FFFFFF"/>
    </font>
    <font>
      <name val="Arial"/>
      <sz val="10"/>
    </font>
    <font>
      <name val="Arial"/>
      <color rgb="000563C1"/>
      <sz val="10"/>
      <u val="single"/>
    </font>
    <font>
      <name val="Arial"/>
    </font>
    <font>
      <name val="Arial"/>
      <b val="1"/>
    </font>
    <font>
      <name val="Arial"/>
      <i val="1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7">
    <dxf>
      <fill>
        <patternFill patternType="solid">
          <fgColor rgb="00F8D7DA"/>
        </patternFill>
      </fill>
    </dxf>
    <dxf>
      <fill>
        <patternFill patternType="solid">
          <fgColor rgb="00D4EDDA"/>
        </patternFill>
      </fill>
    </dxf>
    <dxf>
      <fill>
        <patternFill patternType="solid">
          <fgColor rgb="00C3E6CB"/>
        </patternFill>
      </fill>
    </dxf>
    <dxf>
      <fill>
        <patternFill patternType="solid">
          <fgColor rgb="00DCE9F7"/>
        </patternFill>
      </fill>
    </dxf>
    <dxf>
      <fill>
        <patternFill patternType="solid">
          <fgColor rgb="00E7E0F7"/>
        </patternFill>
      </fill>
    </dxf>
    <dxf>
      <fill>
        <patternFill patternType="solid">
          <fgColor rgb="00FFF3CD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aykito.github.io/Portfolio/candidature/network-systems/" TargetMode="External" Id="rId1"/><Relationship Type="http://schemas.openxmlformats.org/officeDocument/2006/relationships/hyperlink" Target="https://saykito.github.io/Portfolio/candidature/systup/" TargetMode="External" Id="rId2"/><Relationship Type="http://schemas.openxmlformats.org/officeDocument/2006/relationships/hyperlink" Target="https://saykito.github.io/Portfolio/candidature/mission-locale-paris/" TargetMode="External" Id="rId3"/><Relationship Type="http://schemas.openxmlformats.org/officeDocument/2006/relationships/hyperlink" Target="https://saykito.github.io/Portfolio/candidature/seine-saint-denis/" TargetMode="External" Id="rId4"/><Relationship Type="http://schemas.openxmlformats.org/officeDocument/2006/relationships/hyperlink" Target="https://saykito.github.io/Portfolio/candidature/champigny-sur-marne/" TargetMode="External" Id="rId5"/><Relationship Type="http://schemas.openxmlformats.org/officeDocument/2006/relationships/hyperlink" Target="https://saykito.github.io/Portfolio/candidature/juvisy-sur-orge/" TargetMode="External" Id="rId6"/><Relationship Type="http://schemas.openxmlformats.org/officeDocument/2006/relationships/hyperlink" Target="https://saykito.github.io/Portfolio/candidature/celeste/" TargetMode="External" Id="rId7"/><Relationship Type="http://schemas.openxmlformats.org/officeDocument/2006/relationships/hyperlink" Target="https://saykito.github.io/Portfolio/candidature/autorite-transports/" TargetMode="External" Id="rId8"/><Relationship Type="http://schemas.openxmlformats.org/officeDocument/2006/relationships/hyperlink" Target="https://saykito.github.io/Portfolio/candidature/airparif/" TargetMode="External" Id="rId9"/><Relationship Type="http://schemas.openxmlformats.org/officeDocument/2006/relationships/hyperlink" Target="https://saykito.github.io/Portfolio/candidature/marne-et-gondoire/" TargetMode="External" Id="rId10"/><Relationship Type="http://schemas.openxmlformats.org/officeDocument/2006/relationships/hyperlink" Target="https://saykito.github.io/Portfolio/candidature/noisy-le-grand/" TargetMode="External" Id="rId11"/><Relationship Type="http://schemas.openxmlformats.org/officeDocument/2006/relationships/hyperlink" Target="https://saykito.github.io/Portfolio/candidature/gpsea/" TargetMode="External" Id="rId12"/><Relationship Type="http://schemas.openxmlformats.org/officeDocument/2006/relationships/hyperlink" Target="https://saykito.github.io/Portfolio/candidature/pontault-combault/" TargetMode="External" Id="rId13"/><Relationship Type="http://schemas.openxmlformats.org/officeDocument/2006/relationships/hyperlink" Target="https://saykito.github.io/Portfolio/candidature/bruitparif/" TargetMode="External" Id="rId1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0" customWidth="1" min="2" max="2"/>
    <col width="22" customWidth="1" min="3" max="3"/>
    <col width="16" customWidth="1" min="4" max="4"/>
    <col width="11" customWidth="1" min="5" max="5"/>
    <col width="11" customWidth="1" min="6" max="6"/>
    <col width="34" customWidth="1" min="7" max="7"/>
    <col width="12" customWidth="1" min="8" max="8"/>
    <col width="12" customWidth="1" min="9" max="9"/>
    <col width="34" customWidth="1" min="10" max="10"/>
    <col width="12" customWidth="1" min="11" max="11"/>
    <col width="34" customWidth="1" min="12" max="12"/>
    <col width="44" customWidth="1" min="13" max="13"/>
  </cols>
  <sheetData>
    <row r="1">
      <c r="A1" s="1" t="inlineStr">
        <is>
          <t>Candidatures de stage 2027 - Yasin Boukraa</t>
        </is>
      </c>
    </row>
    <row r="2">
      <c r="A2" s="2" t="inlineStr">
        <is>
          <t>Mis à jour le 29/10/2026 · stage de 2 mois minimum, d'avril à fin août 2027</t>
        </is>
      </c>
    </row>
    <row r="4">
      <c r="A4" s="3" t="inlineStr">
        <is>
          <t>#</t>
        </is>
      </c>
      <c r="B4" s="3" t="inlineStr">
        <is>
          <t>Entreprise</t>
        </is>
      </c>
      <c r="C4" s="3" t="inlineStr">
        <is>
          <t>Ville</t>
        </is>
      </c>
      <c r="D4" s="3" t="inlineStr">
        <is>
          <t>Type</t>
        </is>
      </c>
      <c r="E4" s="3" t="inlineStr">
        <is>
          <t>CV</t>
        </is>
      </c>
      <c r="F4" s="3" t="inlineStr">
        <is>
          <t>Mode</t>
        </is>
      </c>
      <c r="G4" s="3" t="inlineStr">
        <is>
          <t>Contact</t>
        </is>
      </c>
      <c r="H4" s="3" t="inlineStr">
        <is>
          <t>Envoyée le</t>
        </is>
      </c>
      <c r="I4" s="3" t="inlineStr">
        <is>
          <t>Statut</t>
        </is>
      </c>
      <c r="J4" s="3" t="inlineStr">
        <is>
          <t>Dernière réponse</t>
        </is>
      </c>
      <c r="K4" s="3" t="inlineStr">
        <is>
          <t>Réponse le</t>
        </is>
      </c>
      <c r="L4" s="3" t="inlineStr">
        <is>
          <t>Prochaine action</t>
        </is>
      </c>
      <c r="M4" s="3" t="inlineStr">
        <is>
          <t>Page candidature</t>
        </is>
      </c>
    </row>
    <row r="5">
      <c r="A5" s="4" t="n">
        <v>1</v>
      </c>
      <c r="B5" s="4" t="inlineStr">
        <is>
          <t>Network Systems</t>
        </is>
      </c>
      <c r="C5" s="4" t="inlineStr">
        <is>
          <t>Paris</t>
        </is>
      </c>
      <c r="D5" s="4" t="inlineStr">
        <is>
          <t>ESN pour PME</t>
        </is>
      </c>
      <c r="E5" s="4" t="inlineStr">
        <is>
          <t>Technicien</t>
        </is>
      </c>
      <c r="F5" s="4" t="inlineStr">
        <is>
          <t>Mail</t>
        </is>
      </c>
      <c r="G5" s="4" t="inlineStr">
        <is>
          <t>contact@network-systems.fr</t>
        </is>
      </c>
      <c r="H5" s="5" t="n">
        <v>46309</v>
      </c>
      <c r="I5" s="4" t="inlineStr">
        <is>
          <t>Envoyée</t>
        </is>
      </c>
      <c r="J5" s="4" t="inlineStr">
        <is>
          <t>Aucune réponse</t>
        </is>
      </c>
      <c r="K5" s="5" t="n"/>
      <c r="L5" s="4" t="inlineStr">
        <is>
          <t>Relancer la semaine du 2 novembre</t>
        </is>
      </c>
      <c r="M5" s="6" t="inlineStr">
        <is>
          <t>https://saykito.github.io/Portfolio/candidature/network-systems/</t>
        </is>
      </c>
    </row>
    <row r="6">
      <c r="A6" s="4" t="n">
        <v>2</v>
      </c>
      <c r="B6" s="4" t="inlineStr">
        <is>
          <t>Mairie d'Osny</t>
        </is>
      </c>
      <c r="C6" s="4" t="inlineStr">
        <is>
          <t>Osny (95)</t>
        </is>
      </c>
      <c r="D6" s="4" t="inlineStr">
        <is>
          <t>Collectivité</t>
        </is>
      </c>
      <c r="E6" s="4" t="inlineStr">
        <is>
          <t>Technicien</t>
        </is>
      </c>
      <c r="F6" s="4" t="inlineStr">
        <is>
          <t>Formulaire</t>
        </is>
      </c>
      <c r="G6" s="4" t="inlineStr">
        <is>
          <t>Formulaire « Postuler en ligne » sur osny.fr</t>
        </is>
      </c>
      <c r="H6" s="5" t="n"/>
      <c r="I6" s="4" t="inlineStr">
        <is>
          <t>En pause</t>
        </is>
      </c>
      <c r="J6" s="4" t="inlineStr"/>
      <c r="K6" s="5" t="n"/>
      <c r="L6" s="4" t="inlineStr">
        <is>
          <t>Le stage n'apparaît plus dans les offres : ne pas envoyer pour l'instant</t>
        </is>
      </c>
      <c r="M6" s="4" t="inlineStr"/>
    </row>
    <row r="7">
      <c r="A7" s="4" t="n">
        <v>3</v>
      </c>
      <c r="B7" s="4" t="inlineStr">
        <is>
          <t>SystUp</t>
        </is>
      </c>
      <c r="C7" s="4" t="inlineStr">
        <is>
          <t>Boulogne-Billancourt (92)</t>
        </is>
      </c>
      <c r="D7" s="4" t="inlineStr">
        <is>
          <t>Infogérance</t>
        </is>
      </c>
      <c r="E7" s="4" t="inlineStr">
        <is>
          <t>Technicien</t>
        </is>
      </c>
      <c r="F7" s="4" t="inlineStr">
        <is>
          <t>Mail</t>
        </is>
      </c>
      <c r="G7" s="4" t="inlineStr">
        <is>
          <t>emploi@aldisa.fr</t>
        </is>
      </c>
      <c r="H7" s="5" t="n">
        <v>46309</v>
      </c>
      <c r="I7" s="4" t="inlineStr">
        <is>
          <t>Envoyée</t>
        </is>
      </c>
      <c r="J7" s="4" t="inlineStr">
        <is>
          <t>Aucune réponse</t>
        </is>
      </c>
      <c r="K7" s="5" t="n"/>
      <c r="L7" s="4" t="inlineStr">
        <is>
          <t>Relancer la semaine du 2 novembre</t>
        </is>
      </c>
      <c r="M7" s="6" t="inlineStr">
        <is>
          <t>https://saykito.github.io/Portfolio/candidature/systup/</t>
        </is>
      </c>
    </row>
    <row r="8">
      <c r="A8" s="4" t="n">
        <v>4</v>
      </c>
      <c r="B8" s="4" t="inlineStr">
        <is>
          <t>Paris - Vallée de la Marne</t>
        </is>
      </c>
      <c r="C8" s="4" t="inlineStr">
        <is>
          <t>Marne-la-Vallée (77)</t>
        </is>
      </c>
      <c r="D8" s="4" t="inlineStr">
        <is>
          <t>Collectivité</t>
        </is>
      </c>
      <c r="E8" s="4" t="inlineStr">
        <is>
          <t>Réseaux</t>
        </is>
      </c>
      <c r="F8" s="4" t="inlineStr">
        <is>
          <t>Mail</t>
        </is>
      </c>
      <c r="G8" s="4" t="inlineStr">
        <is>
          <t>Adresse 2024 non confirmée</t>
        </is>
      </c>
      <c r="H8" s="5" t="n"/>
      <c r="I8" s="4" t="inlineStr">
        <is>
          <t>En pause</t>
        </is>
      </c>
      <c r="J8" s="4" t="inlineStr"/>
      <c r="K8" s="5" t="n"/>
      <c r="L8" s="4" t="inlineStr">
        <is>
          <t>Surveiller leurs offres sur emploi-territorial.fr</t>
        </is>
      </c>
      <c r="M8" s="4" t="inlineStr"/>
    </row>
    <row r="9">
      <c r="A9" s="4" t="n">
        <v>5</v>
      </c>
      <c r="B9" s="4" t="inlineStr">
        <is>
          <t>Mission Locale de Paris</t>
        </is>
      </c>
      <c r="C9" s="4" t="inlineStr">
        <is>
          <t>Paris</t>
        </is>
      </c>
      <c r="D9" s="4" t="inlineStr">
        <is>
          <t>Association</t>
        </is>
      </c>
      <c r="E9" s="4" t="inlineStr">
        <is>
          <t>Technicien</t>
        </is>
      </c>
      <c r="F9" s="4" t="inlineStr">
        <is>
          <t>Mail</t>
        </is>
      </c>
      <c r="G9" s="4" t="inlineStr">
        <is>
          <t>recrutement@missionlocaledeparis.fr</t>
        </is>
      </c>
      <c r="H9" s="5" t="n">
        <v>46309</v>
      </c>
      <c r="I9" s="4" t="inlineStr">
        <is>
          <t>Envoyée</t>
        </is>
      </c>
      <c r="J9" s="4" t="inlineStr">
        <is>
          <t>Accusé de réception automatique</t>
        </is>
      </c>
      <c r="K9" s="5" t="n">
        <v>46309</v>
      </c>
      <c r="L9" s="4" t="inlineStr">
        <is>
          <t>Relancer la semaine du 2 novembre</t>
        </is>
      </c>
      <c r="M9" s="6" t="inlineStr">
        <is>
          <t>https://saykito.github.io/Portfolio/candidature/mission-locale-paris/</t>
        </is>
      </c>
    </row>
    <row r="10">
      <c r="A10" s="4" t="n">
        <v>6</v>
      </c>
      <c r="B10" s="4" t="inlineStr">
        <is>
          <t>Département de la Seine-Saint-Denis</t>
        </is>
      </c>
      <c r="C10" s="4" t="inlineStr">
        <is>
          <t>Bobigny (93)</t>
        </is>
      </c>
      <c r="D10" s="4" t="inlineStr">
        <is>
          <t>Collectivité</t>
        </is>
      </c>
      <c r="E10" s="4" t="inlineStr">
        <is>
          <t>Data</t>
        </is>
      </c>
      <c r="F10" s="4" t="inlineStr">
        <is>
          <t>Formulaire</t>
        </is>
      </c>
      <c r="G10" s="4" t="inlineStr">
        <is>
          <t>Candidature spontanée sur emplois.seinesaintdenis.fr</t>
        </is>
      </c>
      <c r="H10" s="5" t="n">
        <v>46324</v>
      </c>
      <c r="I10" s="4" t="inlineStr">
        <is>
          <t>Envoyée</t>
        </is>
      </c>
      <c r="J10" s="4" t="inlineStr">
        <is>
          <t>Accusé de réception automatique</t>
        </is>
      </c>
      <c r="K10" s="5" t="n">
        <v>46324</v>
      </c>
      <c r="L10" s="4" t="inlineStr">
        <is>
          <t>Attendre 2 semaines</t>
        </is>
      </c>
      <c r="M10" s="6" t="inlineStr">
        <is>
          <t>https://saykito.github.io/Portfolio/candidature/seine-saint-denis/</t>
        </is>
      </c>
    </row>
    <row r="11">
      <c r="A11" s="4" t="n">
        <v>7</v>
      </c>
      <c r="B11" s="4" t="inlineStr">
        <is>
          <t>Ville de Champigny-sur-Marne</t>
        </is>
      </c>
      <c r="C11" s="4" t="inlineStr">
        <is>
          <t>Champigny-sur-Marne (94)</t>
        </is>
      </c>
      <c r="D11" s="4" t="inlineStr">
        <is>
          <t>Collectivité</t>
        </is>
      </c>
      <c r="E11" s="4" t="inlineStr">
        <is>
          <t>Technicien</t>
        </is>
      </c>
      <c r="F11" s="4" t="inlineStr">
        <is>
          <t>Mail</t>
        </is>
      </c>
      <c r="G11" s="4" t="inlineStr">
        <is>
          <t>servicerecrutement@mairie-champigny94.fr</t>
        </is>
      </c>
      <c r="H11" s="5" t="n">
        <v>46316</v>
      </c>
      <c r="I11" s="4" t="inlineStr">
        <is>
          <t>Envoyée</t>
        </is>
      </c>
      <c r="J11" s="4" t="inlineStr">
        <is>
          <t>Aucune réponse</t>
        </is>
      </c>
      <c r="K11" s="5" t="n"/>
      <c r="L11" s="4" t="inlineStr">
        <is>
          <t>Relancer mi-novembre</t>
        </is>
      </c>
      <c r="M11" s="6" t="inlineStr">
        <is>
          <t>https://saykito.github.io/Portfolio/candidature/champigny-sur-marne/</t>
        </is>
      </c>
    </row>
    <row r="12">
      <c r="A12" s="4" t="n">
        <v>8</v>
      </c>
      <c r="B12" s="4" t="inlineStr">
        <is>
          <t>Ville de Juvisy-sur-Orge</t>
        </is>
      </c>
      <c r="C12" s="4" t="inlineStr">
        <is>
          <t>Juvisy-sur-Orge (91)</t>
        </is>
      </c>
      <c r="D12" s="4" t="inlineStr">
        <is>
          <t>Collectivité</t>
        </is>
      </c>
      <c r="E12" s="4" t="inlineStr">
        <is>
          <t>Technicien</t>
        </is>
      </c>
      <c r="F12" s="4" t="inlineStr">
        <is>
          <t>Mail</t>
        </is>
      </c>
      <c r="G12" s="4" t="inlineStr">
        <is>
          <t>recrutement@mairie-juvisy.fr</t>
        </is>
      </c>
      <c r="H12" s="5" t="n">
        <v>46316</v>
      </c>
      <c r="I12" s="4" t="inlineStr">
        <is>
          <t>En cours</t>
        </is>
      </c>
      <c r="J12" s="4" t="inlineStr">
        <is>
          <t>La DRH a demandé le CV et la lettre en PDF ; envoyés le 29/10</t>
        </is>
      </c>
      <c r="K12" s="5" t="n">
        <v>46321</v>
      </c>
      <c r="L12" s="4" t="inlineStr">
        <is>
          <t>Cliquer sur le lien Mailinblack du 29/10 pour délivrer le mail</t>
        </is>
      </c>
      <c r="M12" s="6" t="inlineStr">
        <is>
          <t>https://saykito.github.io/Portfolio/candidature/juvisy-sur-orge/</t>
        </is>
      </c>
    </row>
    <row r="13">
      <c r="A13" s="4" t="n">
        <v>9</v>
      </c>
      <c r="B13" s="4" t="inlineStr">
        <is>
          <t>Celeste</t>
        </is>
      </c>
      <c r="C13" s="4" t="inlineStr">
        <is>
          <t>Champs-sur-Marne (77)</t>
        </is>
      </c>
      <c r="D13" s="4" t="inlineStr">
        <is>
          <t>Opérateur télécom</t>
        </is>
      </c>
      <c r="E13" s="4" t="inlineStr">
        <is>
          <t>Réseaux</t>
        </is>
      </c>
      <c r="F13" s="4" t="inlineStr">
        <is>
          <t>Formulaire</t>
        </is>
      </c>
      <c r="G13" s="4" t="inlineStr">
        <is>
          <t>Formulaire Taleez (celeste.fr/offres-d-emploi)</t>
        </is>
      </c>
      <c r="H13" s="5" t="n"/>
      <c r="I13" s="4" t="inlineStr">
        <is>
          <t>À vérifier</t>
        </is>
      </c>
      <c r="J13" s="4" t="inlineStr"/>
      <c r="K13" s="5" t="n"/>
      <c r="L13" s="4" t="inlineStr">
        <is>
          <t>Aucun mail de confirmation reçu : vérifier si le formulaire Taleez est bien parti</t>
        </is>
      </c>
      <c r="M13" s="6" t="inlineStr">
        <is>
          <t>https://saykito.github.io/Portfolio/candidature/celeste/</t>
        </is>
      </c>
    </row>
    <row r="14">
      <c r="A14" s="4" t="n">
        <v>10</v>
      </c>
      <c r="B14" s="4" t="inlineStr">
        <is>
          <t>Autorité de régulation des transports</t>
        </is>
      </c>
      <c r="C14" s="4" t="inlineStr">
        <is>
          <t>Paris 14e</t>
        </is>
      </c>
      <c r="D14" s="4" t="inlineStr">
        <is>
          <t>Autorité publique</t>
        </is>
      </c>
      <c r="E14" s="4" t="inlineStr">
        <is>
          <t>Data</t>
        </is>
      </c>
      <c r="F14" s="4" t="inlineStr">
        <is>
          <t>Mail</t>
        </is>
      </c>
      <c r="G14" s="4" t="inlineStr">
        <is>
          <t>donneesmobilite@autorite-transports.fr</t>
        </is>
      </c>
      <c r="H14" s="5" t="n">
        <v>46316</v>
      </c>
      <c r="I14" s="4" t="inlineStr">
        <is>
          <t>Envoyée</t>
        </is>
      </c>
      <c r="J14" s="4" t="inlineStr">
        <is>
          <t>Aucune réponse</t>
        </is>
      </c>
      <c r="K14" s="5" t="n"/>
      <c r="L14" s="4" t="inlineStr">
        <is>
          <t>Relancer mi-novembre</t>
        </is>
      </c>
      <c r="M14" s="6" t="inlineStr">
        <is>
          <t>https://saykito.github.io/Portfolio/candidature/autorite-transports/</t>
        </is>
      </c>
    </row>
    <row r="15">
      <c r="A15" s="4" t="n">
        <v>11</v>
      </c>
      <c r="B15" s="4" t="inlineStr">
        <is>
          <t>Airparif</t>
        </is>
      </c>
      <c r="C15" s="4" t="inlineStr">
        <is>
          <t>Paris</t>
        </is>
      </c>
      <c r="D15" s="4" t="inlineStr">
        <is>
          <t>Association</t>
        </is>
      </c>
      <c r="E15" s="4" t="inlineStr">
        <is>
          <t>Data</t>
        </is>
      </c>
      <c r="F15" s="4" t="inlineStr">
        <is>
          <t>Mail</t>
        </is>
      </c>
      <c r="G15" s="4" t="inlineStr">
        <is>
          <t>recrute@airparif.fr</t>
        </is>
      </c>
      <c r="H15" s="5" t="n">
        <v>46316</v>
      </c>
      <c r="I15" s="4" t="inlineStr">
        <is>
          <t>Refus</t>
        </is>
      </c>
      <c r="J15" s="4" t="inlineStr">
        <is>
          <t>Pas de stage prévu dans ce domaine</t>
        </is>
      </c>
      <c r="K15" s="5" t="n">
        <v>46317</v>
      </c>
      <c r="L15" s="4" t="inlineStr">
        <is>
          <t>Aucune</t>
        </is>
      </c>
      <c r="M15" s="6" t="inlineStr">
        <is>
          <t>https://saykito.github.io/Portfolio/candidature/airparif/</t>
        </is>
      </c>
    </row>
    <row r="16">
      <c r="A16" s="4" t="n">
        <v>12</v>
      </c>
      <c r="B16" s="4" t="inlineStr">
        <is>
          <t>Marne et Gondoire</t>
        </is>
      </c>
      <c r="C16" s="4" t="inlineStr">
        <is>
          <t>Bussy-Saint-Martin (77)</t>
        </is>
      </c>
      <c r="D16" s="4" t="inlineStr">
        <is>
          <t>Collectivité</t>
        </is>
      </c>
      <c r="E16" s="4" t="inlineStr">
        <is>
          <t>Technicien</t>
        </is>
      </c>
      <c r="F16" s="4" t="inlineStr">
        <is>
          <t>Mail</t>
        </is>
      </c>
      <c r="G16" s="4" t="inlineStr">
        <is>
          <t>recrutement@marneetgondoire.fr</t>
        </is>
      </c>
      <c r="H16" s="5" t="n">
        <v>46324</v>
      </c>
      <c r="I16" s="4" t="inlineStr">
        <is>
          <t>Envoyée</t>
        </is>
      </c>
      <c r="J16" s="4" t="inlineStr">
        <is>
          <t>Accusé de réception automatique</t>
        </is>
      </c>
      <c r="K16" s="5" t="n">
        <v>46324</v>
      </c>
      <c r="L16" s="4" t="inlineStr">
        <is>
          <t>Attendre 2 semaines</t>
        </is>
      </c>
      <c r="M16" s="6" t="inlineStr">
        <is>
          <t>https://saykito.github.io/Portfolio/candidature/marne-et-gondoire/</t>
        </is>
      </c>
    </row>
    <row r="17">
      <c r="A17" s="4" t="n">
        <v>13</v>
      </c>
      <c r="B17" s="4" t="inlineStr">
        <is>
          <t>Ville de Noisy-le-Grand</t>
        </is>
      </c>
      <c r="C17" s="4" t="inlineStr">
        <is>
          <t>Noisy-le-Grand (93)</t>
        </is>
      </c>
      <c r="D17" s="4" t="inlineStr">
        <is>
          <t>Collectivité</t>
        </is>
      </c>
      <c r="E17" s="4" t="inlineStr">
        <is>
          <t>Technicien</t>
        </is>
      </c>
      <c r="F17" s="4" t="inlineStr">
        <is>
          <t>Formulaire</t>
        </is>
      </c>
      <c r="G17" s="4" t="inlineStr">
        <is>
          <t>jobaffinity.fr/apply/5j1rlh3bugj82hfg96</t>
        </is>
      </c>
      <c r="H17" s="5" t="n">
        <v>46324</v>
      </c>
      <c r="I17" s="4" t="inlineStr">
        <is>
          <t>Envoyée</t>
        </is>
      </c>
      <c r="J17" s="4" t="inlineStr">
        <is>
          <t>Accusé de réception automatique</t>
        </is>
      </c>
      <c r="K17" s="5" t="n">
        <v>46324</v>
      </c>
      <c r="L17" s="4" t="inlineStr">
        <is>
          <t>Attendre 2 semaines</t>
        </is>
      </c>
      <c r="M17" s="6" t="inlineStr">
        <is>
          <t>https://saykito.github.io/Portfolio/candidature/noisy-le-grand/</t>
        </is>
      </c>
    </row>
    <row r="18">
      <c r="A18" s="4" t="n">
        <v>14</v>
      </c>
      <c r="B18" s="4" t="inlineStr">
        <is>
          <t>Grand Paris Sud Est Avenir</t>
        </is>
      </c>
      <c r="C18" s="4" t="inlineStr">
        <is>
          <t>Créteil (94)</t>
        </is>
      </c>
      <c r="D18" s="4" t="inlineStr">
        <is>
          <t>Collectivité</t>
        </is>
      </c>
      <c r="E18" s="4" t="inlineStr">
        <is>
          <t>Réseaux</t>
        </is>
      </c>
      <c r="F18" s="4" t="inlineStr">
        <is>
          <t>Formulaire</t>
        </is>
      </c>
      <c r="G18" s="4" t="inlineStr">
        <is>
          <t>Portail emploi.gpsea.fr</t>
        </is>
      </c>
      <c r="H18" s="5" t="n">
        <v>46324</v>
      </c>
      <c r="I18" s="4" t="inlineStr">
        <is>
          <t>Envoyée</t>
        </is>
      </c>
      <c r="J18" s="4" t="inlineStr">
        <is>
          <t>Accusé de réception automatique</t>
        </is>
      </c>
      <c r="K18" s="5" t="n">
        <v>46324</v>
      </c>
      <c r="L18" s="4" t="inlineStr">
        <is>
          <t>Attendre 2 semaines</t>
        </is>
      </c>
      <c r="M18" s="6" t="inlineStr">
        <is>
          <t>https://saykito.github.io/Portfolio/candidature/gpsea/</t>
        </is>
      </c>
    </row>
    <row r="19">
      <c r="A19" s="4" t="n">
        <v>15</v>
      </c>
      <c r="B19" s="4" t="inlineStr">
        <is>
          <t>Ville de Pontault-Combault</t>
        </is>
      </c>
      <c r="C19" s="4" t="inlineStr">
        <is>
          <t>Pontault-Combault (77)</t>
        </is>
      </c>
      <c r="D19" s="4" t="inlineStr">
        <is>
          <t>Collectivité</t>
        </is>
      </c>
      <c r="E19" s="4" t="inlineStr">
        <is>
          <t>Réseaux</t>
        </is>
      </c>
      <c r="F19" s="4" t="inlineStr">
        <is>
          <t>Mail</t>
        </is>
      </c>
      <c r="G19" s="4" t="inlineStr">
        <is>
          <t>stages@pontault-combault.fr</t>
        </is>
      </c>
      <c r="H19" s="5" t="n">
        <v>46324</v>
      </c>
      <c r="I19" s="4" t="inlineStr">
        <is>
          <t>Envoyée</t>
        </is>
      </c>
      <c r="J19" s="4" t="inlineStr">
        <is>
          <t>Aucune réponse</t>
        </is>
      </c>
      <c r="K19" s="5" t="n"/>
      <c r="L19" s="4" t="inlineStr">
        <is>
          <t>Réponse annoncée sous un mois environ</t>
        </is>
      </c>
      <c r="M19" s="6" t="inlineStr">
        <is>
          <t>https://saykito.github.io/Portfolio/candidature/pontault-combault/</t>
        </is>
      </c>
    </row>
    <row r="20">
      <c r="A20" s="4" t="n">
        <v>16</v>
      </c>
      <c r="B20" s="4" t="inlineStr">
        <is>
          <t>Bruitparif</t>
        </is>
      </c>
      <c r="C20" s="4" t="inlineStr">
        <is>
          <t>Saint-Denis (93)</t>
        </is>
      </c>
      <c r="D20" s="4" t="inlineStr">
        <is>
          <t>Association</t>
        </is>
      </c>
      <c r="E20" s="4" t="inlineStr">
        <is>
          <t>Data</t>
        </is>
      </c>
      <c r="F20" s="4" t="inlineStr">
        <is>
          <t>Mail</t>
        </is>
      </c>
      <c r="G20" s="4" t="inlineStr">
        <is>
          <t>recrutement@bruitparif.fr</t>
        </is>
      </c>
      <c r="H20" s="5" t="n">
        <v>46324</v>
      </c>
      <c r="I20" s="4" t="inlineStr">
        <is>
          <t>Envoyée</t>
        </is>
      </c>
      <c r="J20" s="4" t="inlineStr">
        <is>
          <t>Aucune réponse</t>
        </is>
      </c>
      <c r="K20" s="5" t="n"/>
      <c r="L20" s="4" t="inlineStr">
        <is>
          <t>Attendre 2 semaines</t>
        </is>
      </c>
      <c r="M20" s="6" t="inlineStr">
        <is>
          <t>https://saykito.github.io/Portfolio/candidature/bruitparif/</t>
        </is>
      </c>
    </row>
  </sheetData>
  <autoFilter ref="A4:M20"/>
  <conditionalFormatting sqref="I5:I50">
    <cfRule type="cellIs" priority="1" operator="equal" dxfId="0">
      <formula>"Refus"</formula>
    </cfRule>
    <cfRule type="cellIs" priority="2" operator="equal" dxfId="1">
      <formula>"En cours"</formula>
    </cfRule>
    <cfRule type="cellIs" priority="3" operator="equal" dxfId="2">
      <formula>"Entretien"</formula>
    </cfRule>
    <cfRule type="cellIs" priority="4" operator="equal" dxfId="3">
      <formula>"Envoyée"</formula>
    </cfRule>
    <cfRule type="cellIs" priority="5" operator="equal" dxfId="4">
      <formula>"Relancée"</formula>
    </cfRule>
    <cfRule type="cellIs" priority="6" operator="equal" dxfId="5">
      <formula>"À vérifier"</formula>
    </cfRule>
    <cfRule type="cellIs" priority="7" operator="equal" dxfId="5">
      <formula>"À envoyer"</formula>
    </cfRule>
    <cfRule type="cellIs" priority="8" operator="equal" dxfId="6">
      <formula>"En pause"</formula>
    </cfRule>
  </conditionalFormatting>
  <dataValidations count="1">
    <dataValidation sqref="I5:I50" showDropDown="0" showInputMessage="0" showErrorMessage="0" allowBlank="1" type="list">
      <formula1>"À envoyer,À vérifier,Envoyée,Relancée,En cours,Entretien,Refus,En pause"</formula1>
    </dataValidation>
  </dataValidations>
  <hyperlinks>
    <hyperlink xmlns:r="http://schemas.openxmlformats.org/officeDocument/2006/relationships" ref="M5" r:id="rId1"/>
    <hyperlink xmlns:r="http://schemas.openxmlformats.org/officeDocument/2006/relationships" ref="M7" r:id="rId2"/>
    <hyperlink xmlns:r="http://schemas.openxmlformats.org/officeDocument/2006/relationships" ref="M9" r:id="rId3"/>
    <hyperlink xmlns:r="http://schemas.openxmlformats.org/officeDocument/2006/relationships" ref="M10" r:id="rId4"/>
    <hyperlink xmlns:r="http://schemas.openxmlformats.org/officeDocument/2006/relationships" ref="M11" r:id="rId5"/>
    <hyperlink xmlns:r="http://schemas.openxmlformats.org/officeDocument/2006/relationships" ref="M12" r:id="rId6"/>
    <hyperlink xmlns:r="http://schemas.openxmlformats.org/officeDocument/2006/relationships" ref="M13" r:id="rId7"/>
    <hyperlink xmlns:r="http://schemas.openxmlformats.org/officeDocument/2006/relationships" ref="M14" r:id="rId8"/>
    <hyperlink xmlns:r="http://schemas.openxmlformats.org/officeDocument/2006/relationships" ref="M15" r:id="rId9"/>
    <hyperlink xmlns:r="http://schemas.openxmlformats.org/officeDocument/2006/relationships" ref="M16" r:id="rId10"/>
    <hyperlink xmlns:r="http://schemas.openxmlformats.org/officeDocument/2006/relationships" ref="M17" r:id="rId11"/>
    <hyperlink xmlns:r="http://schemas.openxmlformats.org/officeDocument/2006/relationships" ref="M18" r:id="rId12"/>
    <hyperlink xmlns:r="http://schemas.openxmlformats.org/officeDocument/2006/relationships" ref="M19" r:id="rId13"/>
    <hyperlink xmlns:r="http://schemas.openxmlformats.org/officeDocument/2006/relationships" ref="M20" r:id="rId1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8" customWidth="1" min="1" max="1"/>
    <col width="10" customWidth="1" min="2" max="2"/>
  </cols>
  <sheetData>
    <row r="1">
      <c r="A1" s="1" t="inlineStr">
        <is>
          <t>Bilan des candidatures</t>
        </is>
      </c>
    </row>
    <row r="3">
      <c r="A3" s="7" t="inlineStr">
        <is>
          <t>Statut</t>
        </is>
      </c>
      <c r="B3" s="7" t="inlineStr">
        <is>
          <t>Nombre</t>
        </is>
      </c>
    </row>
    <row r="4">
      <c r="A4" s="8" t="inlineStr">
        <is>
          <t>À envoyer</t>
        </is>
      </c>
      <c r="B4" s="8">
        <f>COUNTIF(Suivi!$I$5:$I$50,A4)</f>
        <v/>
      </c>
    </row>
    <row r="5">
      <c r="A5" s="8" t="inlineStr">
        <is>
          <t>À vérifier</t>
        </is>
      </c>
      <c r="B5" s="8">
        <f>COUNTIF(Suivi!$I$5:$I$50,A5)</f>
        <v/>
      </c>
    </row>
    <row r="6">
      <c r="A6" s="8" t="inlineStr">
        <is>
          <t>Envoyée</t>
        </is>
      </c>
      <c r="B6" s="8">
        <f>COUNTIF(Suivi!$I$5:$I$50,A6)</f>
        <v/>
      </c>
    </row>
    <row r="7">
      <c r="A7" s="8" t="inlineStr">
        <is>
          <t>Relancée</t>
        </is>
      </c>
      <c r="B7" s="8">
        <f>COUNTIF(Suivi!$I$5:$I$50,A7)</f>
        <v/>
      </c>
    </row>
    <row r="8">
      <c r="A8" s="8" t="inlineStr">
        <is>
          <t>En cours</t>
        </is>
      </c>
      <c r="B8" s="8">
        <f>COUNTIF(Suivi!$I$5:$I$50,A8)</f>
        <v/>
      </c>
    </row>
    <row r="9">
      <c r="A9" s="8" t="inlineStr">
        <is>
          <t>Entretien</t>
        </is>
      </c>
      <c r="B9" s="8">
        <f>COUNTIF(Suivi!$I$5:$I$50,A9)</f>
        <v/>
      </c>
    </row>
    <row r="10">
      <c r="A10" s="8" t="inlineStr">
        <is>
          <t>Refus</t>
        </is>
      </c>
      <c r="B10" s="8">
        <f>COUNTIF(Suivi!$I$5:$I$50,A10)</f>
        <v/>
      </c>
    </row>
    <row r="11">
      <c r="A11" s="8" t="inlineStr">
        <is>
          <t>En pause</t>
        </is>
      </c>
      <c r="B11" s="8">
        <f>COUNTIF(Suivi!$I$5:$I$50,A11)</f>
        <v/>
      </c>
    </row>
    <row r="12">
      <c r="A12" s="9" t="inlineStr">
        <is>
          <t>Total</t>
        </is>
      </c>
      <c r="B12" s="9">
        <f>SUM(B4:B11)</f>
        <v/>
      </c>
    </row>
    <row r="14">
      <c r="A14" s="8" t="inlineStr">
        <is>
          <t>Mails ou formulaires partis</t>
        </is>
      </c>
      <c r="B14" s="8">
        <f>COUNTA(Suivi!$H$5:$H$50)</f>
        <v/>
      </c>
    </row>
    <row r="15">
      <c r="A15" s="8" t="inlineStr">
        <is>
          <t>Réponses reçues (hors accusés auto)</t>
        </is>
      </c>
      <c r="B15" s="8">
        <f>COUNTIF(Suivi!$I$5:$I$50,"En cours")+COUNTIF(Suivi!$I$5:$I$50,"Entretien")+COUNTIF(Suivi!$I$5:$I$50,"Refus")</f>
        <v/>
      </c>
    </row>
    <row r="17">
      <c r="A17" s="10" t="inlineStr">
        <is>
          <t>Le statut se choisit dans la liste déroulante de la colonne I de l'onglet Suivi ; ce tableau se met à jour tout seul.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2026-10-29T15:09:03Z</dcterms:created>
  <dcterms:modified xmlns:dcterms="http://purl.org/dc/terms/" xmlns:xsi="http://www.w3.org/2001/XMLSchema-instance" xsi:type="dcterms:W3CDTF">2026-10-29T15:09:03Z</dcterms:modified>
</cp:coreProperties>
</file>