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Bilan" sheetId="2" state="visible" r:id="rId4"/>
  </sheets>
  <definedNames>
    <definedName function="false" hidden="true" localSheetId="0" name="_xlnm._FilterDatabase" vbProcedure="false">Suivi!$A$4:$M$20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<sst xmlns="http://schemas.openxmlformats.org/spreadsheetml/2006/main" count="182" uniqueCount="114">
  <si>
    <t xml:space="preserve">Candidatures de stage 2027 - Yasin Boukraa</t>
  </si>
  <si>
    <t xml:space="preserve">Mis à jour le 29/10/2026 · stage de 2 mois minimum, d'avril à fin août 2027</t>
  </si>
  <si>
    <t xml:space="preserve">#</t>
  </si>
  <si>
    <t xml:space="preserve">Entreprise</t>
  </si>
  <si>
    <t xml:space="preserve">Ville</t>
  </si>
  <si>
    <t xml:space="preserve">Type</t>
  </si>
  <si>
    <t xml:space="preserve">CV</t>
  </si>
  <si>
    <t xml:space="preserve">Mode</t>
  </si>
  <si>
    <t xml:space="preserve">Contact</t>
  </si>
  <si>
    <t xml:space="preserve">Envoyée le</t>
  </si>
  <si>
    <t xml:space="preserve">Statut</t>
  </si>
  <si>
    <t xml:space="preserve">Dernière réponse</t>
  </si>
  <si>
    <t xml:space="preserve">Réponse le</t>
  </si>
  <si>
    <t xml:space="preserve">Prochaine action</t>
  </si>
  <si>
    <t xml:space="preserve">Page candidature</t>
  </si>
  <si>
    <t xml:space="preserve">Network Systems</t>
  </si>
  <si>
    <t xml:space="preserve">Paris</t>
  </si>
  <si>
    <t xml:space="preserve">ESN pour PME</t>
  </si>
  <si>
    <t xml:space="preserve">Technicien</t>
  </si>
  <si>
    <t xml:space="preserve">Mail</t>
  </si>
  <si>
    <t xml:space="preserve">contact@network-systems.fr</t>
  </si>
  <si>
    <t xml:space="preserve">Envoyée</t>
  </si>
  <si>
    <t xml:space="preserve">Aucune réponse</t>
  </si>
  <si>
    <t xml:space="preserve">Relancer la semaine du 2 novembre</t>
  </si>
  <si>
    <t xml:space="preserve">https://saykito.github.io/Portfolio/candidature/network-systems/</t>
  </si>
  <si>
    <t xml:space="preserve">Mairie d'Osny</t>
  </si>
  <si>
    <t xml:space="preserve">Osny (95)</t>
  </si>
  <si>
    <t xml:space="preserve">Collectivité</t>
  </si>
  <si>
    <t xml:space="preserve">Formulaire</t>
  </si>
  <si>
    <t xml:space="preserve">Formulaire « Postuler en ligne » sur osny.fr</t>
  </si>
  <si>
    <t xml:space="preserve">En pause</t>
  </si>
  <si>
    <t xml:space="preserve">Le stage n'apparaît plus dans les offres : ne pas envoyer pour l'instant</t>
  </si>
  <si>
    <t xml:space="preserve">SystUp</t>
  </si>
  <si>
    <t xml:space="preserve">Boulogne-Billancourt (92)</t>
  </si>
  <si>
    <t xml:space="preserve">Infogérance</t>
  </si>
  <si>
    <t xml:space="preserve">emploi@aldisa.fr</t>
  </si>
  <si>
    <t xml:space="preserve">https://saykito.github.io/Portfolio/candidature/systup/</t>
  </si>
  <si>
    <t xml:space="preserve">Paris - Vallée de la Marne</t>
  </si>
  <si>
    <t xml:space="preserve">Marne-la-Vallée (77)</t>
  </si>
  <si>
    <t xml:space="preserve">Réseaux</t>
  </si>
  <si>
    <t xml:space="preserve">Adresse 2024 non confirmée</t>
  </si>
  <si>
    <t xml:space="preserve">Surveiller leurs offres sur emploi-territorial.fr</t>
  </si>
  <si>
    <t xml:space="preserve">Mission Locale de Paris</t>
  </si>
  <si>
    <t xml:space="preserve">Association</t>
  </si>
  <si>
    <t xml:space="preserve">recrutement@missionlocaledeparis.fr</t>
  </si>
  <si>
    <t xml:space="preserve">Accusé de réception automatique</t>
  </si>
  <si>
    <t xml:space="preserve">https://saykito.github.io/Portfolio/candidature/mission-locale-paris/</t>
  </si>
  <si>
    <t xml:space="preserve">Département de la Seine-Saint-Denis</t>
  </si>
  <si>
    <t xml:space="preserve">Bobigny (93)</t>
  </si>
  <si>
    <t xml:space="preserve">Data</t>
  </si>
  <si>
    <t xml:space="preserve">Candidature spontanée sur emplois.seinesaintdenis.fr</t>
  </si>
  <si>
    <t xml:space="preserve">À vérifier</t>
  </si>
  <si>
    <t xml:space="preserve">Confirmer si le formulaire a été envoyé</t>
  </si>
  <si>
    <t xml:space="preserve">https://saykito.github.io/Portfolio/candidature/seine-saint-denis/</t>
  </si>
  <si>
    <t xml:space="preserve">Ville de Champigny-sur-Marne</t>
  </si>
  <si>
    <t xml:space="preserve">Champigny-sur-Marne (94)</t>
  </si>
  <si>
    <t xml:space="preserve">servicerecrutement@mairie-champigny94.fr</t>
  </si>
  <si>
    <t xml:space="preserve">Relancer mi-novembre</t>
  </si>
  <si>
    <t xml:space="preserve">https://saykito.github.io/Portfolio/candidature/champigny-sur-marne/</t>
  </si>
  <si>
    <t xml:space="preserve">Ville de Juvisy-sur-Orge</t>
  </si>
  <si>
    <t xml:space="preserve">Juvisy-sur-Orge (91)</t>
  </si>
  <si>
    <t xml:space="preserve">recrutement@mairie-juvisy.fr</t>
  </si>
  <si>
    <t xml:space="preserve">En cours</t>
  </si>
  <si>
    <t xml:space="preserve">La DRH a demandé le CV et la lettre en PDF ; envoyés le 29/10</t>
  </si>
  <si>
    <t xml:space="preserve">Cliquer sur le lien Mailinblack du 29/10 pour délivrer le mail</t>
  </si>
  <si>
    <t xml:space="preserve">https://saykito.github.io/Portfolio/candidature/juvisy-sur-orge/</t>
  </si>
  <si>
    <t xml:space="preserve">Celeste</t>
  </si>
  <si>
    <t xml:space="preserve">Champs-sur-Marne (77)</t>
  </si>
  <si>
    <t xml:space="preserve">Opérateur télécom</t>
  </si>
  <si>
    <t xml:space="preserve">Formulaire Taleez (celeste.fr/offres-d-emploi)</t>
  </si>
  <si>
    <t xml:space="preserve">https://saykito.github.io/Portfolio/candidature/celeste/</t>
  </si>
  <si>
    <t xml:space="preserve">Autorité de régulation des transports</t>
  </si>
  <si>
    <t xml:space="preserve">Paris 14e</t>
  </si>
  <si>
    <t xml:space="preserve">Autorité publique</t>
  </si>
  <si>
    <t xml:space="preserve">donneesmobilite@autorite-transports.fr</t>
  </si>
  <si>
    <t xml:space="preserve">https://saykito.github.io/Portfolio/candidature/autorite-transports/</t>
  </si>
  <si>
    <t xml:space="preserve">Airparif</t>
  </si>
  <si>
    <t xml:space="preserve">recrute@airparif.fr</t>
  </si>
  <si>
    <t xml:space="preserve">Refus</t>
  </si>
  <si>
    <t xml:space="preserve">Pas de stage prévu dans ce domaine</t>
  </si>
  <si>
    <t xml:space="preserve">Aucune</t>
  </si>
  <si>
    <t xml:space="preserve">https://saykito.github.io/Portfolio/candidature/airparif/</t>
  </si>
  <si>
    <t xml:space="preserve">Marne et Gondoire</t>
  </si>
  <si>
    <t xml:space="preserve">Bussy-Saint-Martin (77)</t>
  </si>
  <si>
    <t xml:space="preserve">recrutement@marneetgondoire.fr</t>
  </si>
  <si>
    <t xml:space="preserve">Attendre 2 semaines</t>
  </si>
  <si>
    <t xml:space="preserve">https://saykito.github.io/Portfolio/candidature/marne-et-gondoire/</t>
  </si>
  <si>
    <t xml:space="preserve">Ville de Noisy-le-Grand</t>
  </si>
  <si>
    <t xml:space="preserve">Noisy-le-Grand (93)</t>
  </si>
  <si>
    <t xml:space="preserve">jobaffinity.fr/apply/5j1rlh3bugj82hfg96</t>
  </si>
  <si>
    <t xml:space="preserve">https://saykito.github.io/Portfolio/candidature/noisy-le-grand/</t>
  </si>
  <si>
    <t xml:space="preserve">Grand Paris Sud Est Avenir</t>
  </si>
  <si>
    <t xml:space="preserve">Créteil (94)</t>
  </si>
  <si>
    <t xml:space="preserve">Portail emploi.gpsea.fr</t>
  </si>
  <si>
    <t xml:space="preserve">Confirmer si la candidature a été déposée</t>
  </si>
  <si>
    <t xml:space="preserve">https://saykito.github.io/Portfolio/candidature/gpsea/</t>
  </si>
  <si>
    <t xml:space="preserve">Ville de Pontault-Combault</t>
  </si>
  <si>
    <t xml:space="preserve">Pontault-Combault (77)</t>
  </si>
  <si>
    <t xml:space="preserve">stages@pontault-combault.fr</t>
  </si>
  <si>
    <t xml:space="preserve">Réponse annoncée sous un mois environ</t>
  </si>
  <si>
    <t xml:space="preserve">https://saykito.github.io/Portfolio/candidature/pontault-combault/</t>
  </si>
  <si>
    <t xml:space="preserve">Bruitparif</t>
  </si>
  <si>
    <t xml:space="preserve">Saint-Denis (93)</t>
  </si>
  <si>
    <t xml:space="preserve">recrutement@bruitparif.fr</t>
  </si>
  <si>
    <t xml:space="preserve">https://saykito.github.io/Portfolio/candidature/bruitparif/</t>
  </si>
  <si>
    <t xml:space="preserve">Bilan des candidatures</t>
  </si>
  <si>
    <t xml:space="preserve">Nombre</t>
  </si>
  <si>
    <t xml:space="preserve">À envoyer</t>
  </si>
  <si>
    <t xml:space="preserve">Relancée</t>
  </si>
  <si>
    <t xml:space="preserve">Entretien</t>
  </si>
  <si>
    <t xml:space="preserve">Total</t>
  </si>
  <si>
    <t xml:space="preserve">Mails ou formulaires partis</t>
  </si>
  <si>
    <t xml:space="preserve">Réponses reçues (hors accusés auto)</t>
  </si>
  <si>
    <t xml:space="preserve">Le statut se choisit dans la liste déroulante de la colonne I de l'onglet Suivi ; ce tableau se met à jour tout seul.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</si>
</sst>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CE9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C3E6CB"/>
        </patternFill>
      </fill>
    </dxf>
    <dxf>
      <fill>
        <patternFill>
          <bgColor rgb="FFDCE9F7"/>
        </patternFill>
      </fill>
    </dxf>
    <dxf>
      <fill>
        <patternFill>
          <bgColor rgb="FFE7E0F7"/>
        </patternFill>
      </fill>
    </dxf>
    <dxf>
      <fill>
        <patternFill>
          <bgColor rgb="FFFFF3CD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CE9F7"/>
      <rgbColor rgb="FF660066"/>
      <rgbColor rgb="FFFF8080"/>
      <rgbColor rgb="FF0563C1"/>
      <rgbColor rgb="FFE7E0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4EDDA"/>
      <rgbColor rgb="FFFFFF99"/>
      <rgbColor rgb="FFC3E6CB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ykito.github.io/Portfolio/candidature/network-systems/" TargetMode="External"/><Relationship Id="rId2" Type="http://schemas.openxmlformats.org/officeDocument/2006/relationships/hyperlink" Target="https://saykito.github.io/Portfolio/candidature/systup/" TargetMode="External"/><Relationship Id="rId3" Type="http://schemas.openxmlformats.org/officeDocument/2006/relationships/hyperlink" Target="https://saykito.github.io/Portfolio/candidature/mission-locale-paris/" TargetMode="External"/><Relationship Id="rId4" Type="http://schemas.openxmlformats.org/officeDocument/2006/relationships/hyperlink" Target="https://saykito.github.io/Portfolio/candidature/seine-saint-denis/" TargetMode="External"/><Relationship Id="rId5" Type="http://schemas.openxmlformats.org/officeDocument/2006/relationships/hyperlink" Target="https://saykito.github.io/Portfolio/candidature/champigny-sur-marne/" TargetMode="External"/><Relationship Id="rId6" Type="http://schemas.openxmlformats.org/officeDocument/2006/relationships/hyperlink" Target="https://saykito.github.io/Portfolio/candidature/juvisy-sur-orge/" TargetMode="External"/><Relationship Id="rId7" Type="http://schemas.openxmlformats.org/officeDocument/2006/relationships/hyperlink" Target="https://saykito.github.io/Portfolio/candidature/celeste/" TargetMode="External"/><Relationship Id="rId8" Type="http://schemas.openxmlformats.org/officeDocument/2006/relationships/hyperlink" Target="https://saykito.github.io/Portfolio/candidature/autorite-transports/" TargetMode="External"/><Relationship Id="rId9" Type="http://schemas.openxmlformats.org/officeDocument/2006/relationships/hyperlink" Target="https://saykito.github.io/Portfolio/candidature/airparif/" TargetMode="External"/><Relationship Id="rId10" Type="http://schemas.openxmlformats.org/officeDocument/2006/relationships/hyperlink" Target="https://saykito.github.io/Portfolio/candidature/marne-et-gondoire/" TargetMode="External"/><Relationship Id="rId11" Type="http://schemas.openxmlformats.org/officeDocument/2006/relationships/hyperlink" Target="https://saykito.github.io/Portfolio/candidature/noisy-le-grand/" TargetMode="External"/><Relationship Id="rId12" Type="http://schemas.openxmlformats.org/officeDocument/2006/relationships/hyperlink" Target="https://saykito.github.io/Portfolio/candidature/gpsea/" TargetMode="External"/><Relationship Id="rId13" Type="http://schemas.openxmlformats.org/officeDocument/2006/relationships/hyperlink" Target="https://saykito.github.io/Portfolio/candidature/pontault-combault/" TargetMode="External"/><Relationship Id="rId14" Type="http://schemas.openxmlformats.org/officeDocument/2006/relationships/hyperlink" Target="https://saykito.github.io/Portfolio/candidature/bruitparif/" TargetMode="External"/><Relationship Id="rId1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34"/>
    <col collapsed="false" customWidth="true" hidden="false" outlineLevel="0" max="9" min="8" style="0" width="12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n">
        <v>1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5" t="n">
        <v>46309</v>
      </c>
      <c r="I5" s="4" t="s">
        <v>21</v>
      </c>
      <c r="J5" s="4" t="s">
        <v>22</v>
      </c>
      <c r="K5" s="5"/>
      <c r="L5" s="4" t="s">
        <v>23</v>
      </c>
      <c r="M5" s="6" t="s">
        <v>24</v>
      </c>
    </row>
    <row r="6" customFormat="false" ht="23.85" hidden="false" customHeight="false" outlineLevel="0" collapsed="false">
      <c r="A6" s="4" t="n">
        <v>2</v>
      </c>
      <c r="B6" s="4" t="s">
        <v>25</v>
      </c>
      <c r="C6" s="4" t="s">
        <v>26</v>
      </c>
      <c r="D6" s="4" t="s">
        <v>27</v>
      </c>
      <c r="E6" s="4" t="s">
        <v>18</v>
      </c>
      <c r="F6" s="4" t="s">
        <v>28</v>
      </c>
      <c r="G6" s="4" t="s">
        <v>29</v>
      </c>
      <c r="H6" s="5"/>
      <c r="I6" s="4" t="s">
        <v>30</v>
      </c>
      <c r="J6" s="4"/>
      <c r="K6" s="5"/>
      <c r="L6" s="4" t="s">
        <v>31</v>
      </c>
      <c r="M6" s="4"/>
    </row>
    <row r="7" customFormat="false" ht="15" hidden="false" customHeight="false" outlineLevel="0" collapsed="false">
      <c r="A7" s="4" t="n">
        <v>3</v>
      </c>
      <c r="B7" s="4" t="s">
        <v>32</v>
      </c>
      <c r="C7" s="4" t="s">
        <v>33</v>
      </c>
      <c r="D7" s="4" t="s">
        <v>34</v>
      </c>
      <c r="E7" s="4" t="s">
        <v>18</v>
      </c>
      <c r="F7" s="4" t="s">
        <v>19</v>
      </c>
      <c r="G7" s="4" t="s">
        <v>35</v>
      </c>
      <c r="H7" s="5" t="n">
        <v>46309</v>
      </c>
      <c r="I7" s="4" t="s">
        <v>21</v>
      </c>
      <c r="J7" s="4" t="s">
        <v>22</v>
      </c>
      <c r="K7" s="5"/>
      <c r="L7" s="4" t="s">
        <v>23</v>
      </c>
      <c r="M7" s="6" t="s">
        <v>36</v>
      </c>
    </row>
    <row r="8" customFormat="false" ht="23.85" hidden="false" customHeight="false" outlineLevel="0" collapsed="false">
      <c r="A8" s="4" t="n">
        <v>4</v>
      </c>
      <c r="B8" s="4" t="s">
        <v>37</v>
      </c>
      <c r="C8" s="4" t="s">
        <v>38</v>
      </c>
      <c r="D8" s="4" t="s">
        <v>27</v>
      </c>
      <c r="E8" s="4" t="s">
        <v>39</v>
      </c>
      <c r="F8" s="4" t="s">
        <v>19</v>
      </c>
      <c r="G8" s="4" t="s">
        <v>40</v>
      </c>
      <c r="H8" s="5"/>
      <c r="I8" s="4" t="s">
        <v>30</v>
      </c>
      <c r="J8" s="4"/>
      <c r="K8" s="5"/>
      <c r="L8" s="4" t="s">
        <v>41</v>
      </c>
      <c r="M8" s="4"/>
    </row>
    <row r="9" customFormat="false" ht="15" hidden="false" customHeight="false" outlineLevel="0" collapsed="false">
      <c r="A9" s="4" t="n">
        <v>5</v>
      </c>
      <c r="B9" s="4" t="s">
        <v>42</v>
      </c>
      <c r="C9" s="4" t="s">
        <v>16</v>
      </c>
      <c r="D9" s="4" t="s">
        <v>43</v>
      </c>
      <c r="E9" s="4" t="s">
        <v>18</v>
      </c>
      <c r="F9" s="4" t="s">
        <v>19</v>
      </c>
      <c r="G9" s="4" t="s">
        <v>44</v>
      </c>
      <c r="H9" s="5" t="n">
        <v>46309</v>
      </c>
      <c r="I9" s="4" t="s">
        <v>21</v>
      </c>
      <c r="J9" s="4" t="s">
        <v>45</v>
      </c>
      <c r="K9" s="5" t="n">
        <v>46309</v>
      </c>
      <c r="L9" s="4" t="s">
        <v>23</v>
      </c>
      <c r="M9" s="6" t="s">
        <v>46</v>
      </c>
    </row>
    <row r="10" customFormat="false" ht="23.85" hidden="false" customHeight="false" outlineLevel="0" collapsed="false">
      <c r="A10" s="4" t="n">
        <v>6</v>
      </c>
      <c r="B10" s="4" t="s">
        <v>47</v>
      </c>
      <c r="C10" s="4" t="s">
        <v>48</v>
      </c>
      <c r="D10" s="4" t="s">
        <v>27</v>
      </c>
      <c r="E10" s="4" t="s">
        <v>49</v>
      </c>
      <c r="F10" s="4" t="s">
        <v>28</v>
      </c>
      <c r="G10" s="4" t="s">
        <v>50</v>
      </c>
      <c r="H10" s="5"/>
      <c r="I10" s="4" t="s">
        <v>51</v>
      </c>
      <c r="J10" s="4"/>
      <c r="K10" s="5"/>
      <c r="L10" s="4" t="s">
        <v>52</v>
      </c>
      <c r="M10" s="6" t="s">
        <v>53</v>
      </c>
    </row>
    <row r="11" customFormat="false" ht="23.85" hidden="false" customHeight="false" outlineLevel="0" collapsed="false">
      <c r="A11" s="4" t="n">
        <v>7</v>
      </c>
      <c r="B11" s="4" t="s">
        <v>54</v>
      </c>
      <c r="C11" s="4" t="s">
        <v>55</v>
      </c>
      <c r="D11" s="4" t="s">
        <v>27</v>
      </c>
      <c r="E11" s="4" t="s">
        <v>18</v>
      </c>
      <c r="F11" s="4" t="s">
        <v>19</v>
      </c>
      <c r="G11" s="4" t="s">
        <v>56</v>
      </c>
      <c r="H11" s="5" t="n">
        <v>46316</v>
      </c>
      <c r="I11" s="4" t="s">
        <v>21</v>
      </c>
      <c r="J11" s="4" t="s">
        <v>22</v>
      </c>
      <c r="K11" s="5"/>
      <c r="L11" s="4" t="s">
        <v>57</v>
      </c>
      <c r="M11" s="6" t="s">
        <v>58</v>
      </c>
    </row>
    <row r="12" customFormat="false" ht="23.85" hidden="false" customHeight="false" outlineLevel="0" collapsed="false">
      <c r="A12" s="4" t="n">
        <v>8</v>
      </c>
      <c r="B12" s="4" t="s">
        <v>59</v>
      </c>
      <c r="C12" s="4" t="s">
        <v>60</v>
      </c>
      <c r="D12" s="4" t="s">
        <v>27</v>
      </c>
      <c r="E12" s="4" t="s">
        <v>18</v>
      </c>
      <c r="F12" s="4" t="s">
        <v>19</v>
      </c>
      <c r="G12" s="4" t="s">
        <v>61</v>
      </c>
      <c r="H12" s="5" t="n">
        <v>46316</v>
      </c>
      <c r="I12" s="4" t="s">
        <v>62</v>
      </c>
      <c r="J12" s="4" t="s">
        <v>63</v>
      </c>
      <c r="K12" s="5" t="n">
        <v>46321</v>
      </c>
      <c r="L12" s="4" t="s">
        <v>64</v>
      </c>
      <c r="M12" s="6" t="s">
        <v>65</v>
      </c>
    </row>
    <row r="13" customFormat="false" ht="23.85" hidden="false" customHeight="false" outlineLevel="0" collapsed="false">
      <c r="A13" s="4" t="n">
        <v>9</v>
      </c>
      <c r="B13" s="4" t="s">
        <v>66</v>
      </c>
      <c r="C13" s="4" t="s">
        <v>67</v>
      </c>
      <c r="D13" s="4" t="s">
        <v>68</v>
      </c>
      <c r="E13" s="4" t="s">
        <v>39</v>
      </c>
      <c r="F13" s="4" t="s">
        <v>28</v>
      </c>
      <c r="G13" s="4" t="s">
        <v>69</v>
      </c>
      <c r="H13" s="5"/>
      <c r="I13" s="4" t="s">
        <v>51</v>
      </c>
      <c r="J13" s="4"/>
      <c r="K13" s="5"/>
      <c r="L13" s="4" t="s">
        <v>52</v>
      </c>
      <c r="M13" s="6" t="s">
        <v>70</v>
      </c>
    </row>
    <row r="14" customFormat="false" ht="15" hidden="false" customHeight="false" outlineLevel="0" collapsed="false">
      <c r="A14" s="4" t="n">
        <v>10</v>
      </c>
      <c r="B14" s="4" t="s">
        <v>71</v>
      </c>
      <c r="C14" s="4" t="s">
        <v>72</v>
      </c>
      <c r="D14" s="4" t="s">
        <v>73</v>
      </c>
      <c r="E14" s="4" t="s">
        <v>49</v>
      </c>
      <c r="F14" s="4" t="s">
        <v>19</v>
      </c>
      <c r="G14" s="4" t="s">
        <v>74</v>
      </c>
      <c r="H14" s="5" t="n">
        <v>46316</v>
      </c>
      <c r="I14" s="4" t="s">
        <v>21</v>
      </c>
      <c r="J14" s="4" t="s">
        <v>22</v>
      </c>
      <c r="K14" s="5"/>
      <c r="L14" s="4" t="s">
        <v>57</v>
      </c>
      <c r="M14" s="6" t="s">
        <v>75</v>
      </c>
    </row>
    <row r="15" customFormat="false" ht="15" hidden="false" customHeight="false" outlineLevel="0" collapsed="false">
      <c r="A15" s="4" t="n">
        <v>11</v>
      </c>
      <c r="B15" s="4" t="s">
        <v>76</v>
      </c>
      <c r="C15" s="4" t="s">
        <v>16</v>
      </c>
      <c r="D15" s="4" t="s">
        <v>43</v>
      </c>
      <c r="E15" s="4" t="s">
        <v>49</v>
      </c>
      <c r="F15" s="4" t="s">
        <v>19</v>
      </c>
      <c r="G15" s="4" t="s">
        <v>77</v>
      </c>
      <c r="H15" s="5" t="n">
        <v>46316</v>
      </c>
      <c r="I15" s="4" t="s">
        <v>78</v>
      </c>
      <c r="J15" s="4" t="s">
        <v>79</v>
      </c>
      <c r="K15" s="5" t="n">
        <v>46317</v>
      </c>
      <c r="L15" s="4" t="s">
        <v>80</v>
      </c>
      <c r="M15" s="6" t="s">
        <v>81</v>
      </c>
    </row>
    <row r="16" customFormat="false" ht="15" hidden="false" customHeight="false" outlineLevel="0" collapsed="false">
      <c r="A16" s="4" t="n">
        <v>12</v>
      </c>
      <c r="B16" s="4" t="s">
        <v>82</v>
      </c>
      <c r="C16" s="4" t="s">
        <v>83</v>
      </c>
      <c r="D16" s="4" t="s">
        <v>27</v>
      </c>
      <c r="E16" s="4" t="s">
        <v>18</v>
      </c>
      <c r="F16" s="4" t="s">
        <v>19</v>
      </c>
      <c r="G16" s="4" t="s">
        <v>84</v>
      </c>
      <c r="H16" s="5" t="n">
        <v>46324</v>
      </c>
      <c r="I16" s="4" t="s">
        <v>21</v>
      </c>
      <c r="J16" s="4" t="s">
        <v>22</v>
      </c>
      <c r="K16" s="5"/>
      <c r="L16" s="4" t="s">
        <v>85</v>
      </c>
      <c r="M16" s="6" t="s">
        <v>86</v>
      </c>
    </row>
    <row r="17" customFormat="false" ht="15" hidden="false" customHeight="false" outlineLevel="0" collapsed="false">
      <c r="A17" s="4" t="n">
        <v>13</v>
      </c>
      <c r="B17" s="4" t="s">
        <v>87</v>
      </c>
      <c r="C17" s="4" t="s">
        <v>88</v>
      </c>
      <c r="D17" s="4" t="s">
        <v>27</v>
      </c>
      <c r="E17" s="4" t="s">
        <v>18</v>
      </c>
      <c r="F17" s="4" t="s">
        <v>28</v>
      </c>
      <c r="G17" s="4" t="s">
        <v>89</v>
      </c>
      <c r="H17" s="5"/>
      <c r="I17" s="4" t="s">
        <v>51</v>
      </c>
      <c r="J17" s="4"/>
      <c r="K17" s="5"/>
      <c r="L17" s="4" t="s">
        <v>52</v>
      </c>
      <c r="M17" s="6" t="s">
        <v>90</v>
      </c>
    </row>
    <row r="18" customFormat="false" ht="23.85" hidden="false" customHeight="false" outlineLevel="0" collapsed="false">
      <c r="A18" s="4" t="n">
        <v>14</v>
      </c>
      <c r="B18" s="4" t="s">
        <v>91</v>
      </c>
      <c r="C18" s="4" t="s">
        <v>92</v>
      </c>
      <c r="D18" s="4" t="s">
        <v>27</v>
      </c>
      <c r="E18" s="4" t="s">
        <v>39</v>
      </c>
      <c r="F18" s="4" t="s">
        <v>28</v>
      </c>
      <c r="G18" s="4" t="s">
        <v>93</v>
      </c>
      <c r="H18" s="5"/>
      <c r="I18" s="4" t="s">
        <v>51</v>
      </c>
      <c r="J18" s="4"/>
      <c r="K18" s="5"/>
      <c r="L18" s="4" t="s">
        <v>94</v>
      </c>
      <c r="M18" s="6" t="s">
        <v>95</v>
      </c>
    </row>
    <row r="19" customFormat="false" ht="15" hidden="false" customHeight="false" outlineLevel="0" collapsed="false">
      <c r="A19" s="4" t="n">
        <v>15</v>
      </c>
      <c r="B19" s="4" t="s">
        <v>96</v>
      </c>
      <c r="C19" s="4" t="s">
        <v>97</v>
      </c>
      <c r="D19" s="4" t="s">
        <v>27</v>
      </c>
      <c r="E19" s="4" t="s">
        <v>39</v>
      </c>
      <c r="F19" s="4" t="s">
        <v>19</v>
      </c>
      <c r="G19" s="4" t="s">
        <v>98</v>
      </c>
      <c r="H19" s="5" t="n">
        <v>46324</v>
      </c>
      <c r="I19" s="4" t="s">
        <v>21</v>
      </c>
      <c r="J19" s="4" t="s">
        <v>22</v>
      </c>
      <c r="K19" s="5"/>
      <c r="L19" s="4" t="s">
        <v>99</v>
      </c>
      <c r="M19" s="6" t="s">
        <v>100</v>
      </c>
    </row>
    <row r="20" customFormat="false" ht="15" hidden="false" customHeight="false" outlineLevel="0" collapsed="false">
      <c r="A20" s="4" t="n">
        <v>16</v>
      </c>
      <c r="B20" s="4" t="s">
        <v>101</v>
      </c>
      <c r="C20" s="4" t="s">
        <v>102</v>
      </c>
      <c r="D20" s="4" t="s">
        <v>43</v>
      </c>
      <c r="E20" s="4" t="s">
        <v>49</v>
      </c>
      <c r="F20" s="4" t="s">
        <v>19</v>
      </c>
      <c r="G20" s="4" t="s">
        <v>103</v>
      </c>
      <c r="H20" s="5" t="n">
        <v>46324</v>
      </c>
      <c r="I20" s="4" t="s">
        <v>21</v>
      </c>
      <c r="J20" s="4" t="s">
        <v>22</v>
      </c>
      <c r="K20" s="5"/>
      <c r="L20" s="4" t="s">
        <v>85</v>
      </c>
      <c r="M20" s="6" t="s">
        <v>104</v>
      </c>
    </row>
  </sheetData>
  <autoFilter ref="A4:M20"/>
  <conditionalFormatting sqref="I5:I50">
    <cfRule type="cellIs" priority="2" operator="equal" aboveAverage="0" equalAverage="0" bottom="0" percent="0" rank="0" text="" dxfId="9">
      <formula>"Refus"</formula>
    </cfRule>
    <cfRule type="cellIs" priority="3" operator="equal" aboveAverage="0" equalAverage="0" bottom="0" percent="0" rank="0" text="" dxfId="10">
      <formula>"En cours"</formula>
    </cfRule>
    <cfRule type="cellIs" priority="4" operator="equal" aboveAverage="0" equalAverage="0" bottom="0" percent="0" rank="0" text="" dxfId="11">
      <formula>"Entretien"</formula>
    </cfRule>
    <cfRule type="cellIs" priority="5" operator="equal" aboveAverage="0" equalAverage="0" bottom="0" percent="0" rank="0" text="" dxfId="12">
      <formula>"Envoyée"</formula>
    </cfRule>
    <cfRule type="cellIs" priority="6" operator="equal" aboveAverage="0" equalAverage="0" bottom="0" percent="0" rank="0" text="" dxfId="13">
      <formula>"Relancée"</formula>
    </cfRule>
    <cfRule type="cellIs" priority="7" operator="equal" aboveAverage="0" equalAverage="0" bottom="0" percent="0" rank="0" text="" dxfId="14">
      <formula>"À vérifier"</formula>
    </cfRule>
    <cfRule type="cellIs" priority="8" operator="equal" aboveAverage="0" equalAverage="0" bottom="0" percent="0" rank="0" text="" dxfId="14">
      <formula>"À envoyer"</formula>
    </cfRule>
    <cfRule type="cellIs" priority="9" operator="equal" aboveAverage="0" equalAverage="0" bottom="0" percent="0" rank="0" text="" dxfId="15">
      <formula>"En pause"</formula>
    </cfRule>
  </conditionalFormatting>
  <dataValidations count="1">
    <dataValidation allowBlank="true" errorStyle="stop" operator="between" showDropDown="false" showErrorMessage="false" showInputMessage="false" sqref="I5:I50" type="list">
      <formula1>"À envoyer,À vérifier,Envoyée,Relancée,En cours,Entretien,Refus,En pause"</formula1>
      <formula2>0</formula2>
    </dataValidation>
  </dataValidations>
  <hyperlinks>
    <hyperlink ref="M5" r:id="rId1" display="https://saykito.github.io/Portfolio/candidature/network-systems/"/>
    <hyperlink ref="M7" r:id="rId2" display="https://saykito.github.io/Portfolio/candidature/systup/"/>
    <hyperlink ref="M9" r:id="rId3" display="https://saykito.github.io/Portfolio/candidature/mission-locale-paris/"/>
    <hyperlink ref="M10" r:id="rId4" display="https://saykito.github.io/Portfolio/candidature/seine-saint-denis/"/>
    <hyperlink ref="M11" r:id="rId5" display="https://saykito.github.io/Portfolio/candidature/champigny-sur-marne/"/>
    <hyperlink ref="M12" r:id="rId6" display="https://saykito.github.io/Portfolio/candidature/juvisy-sur-orge/"/>
    <hyperlink ref="M13" r:id="rId7" display="https://saykito.github.io/Portfolio/candidature/celeste/"/>
    <hyperlink ref="M14" r:id="rId8" display="https://saykito.github.io/Portfolio/candidature/autorite-transports/"/>
    <hyperlink ref="M15" r:id="rId9" display="https://saykito.github.io/Portfolio/candidature/airparif/"/>
    <hyperlink ref="M16" r:id="rId10" display="https://saykito.github.io/Portfolio/candidature/marne-et-gondoire/"/>
    <hyperlink ref="M17" r:id="rId11" display="https://saykito.github.io/Portfolio/candidature/noisy-le-grand/"/>
    <hyperlink ref="M18" r:id="rId12" display="https://saykito.github.io/Portfolio/candidature/gpsea/"/>
    <hyperlink ref="M19" r:id="rId13" display="https://saykito.github.io/Portfolio/candidature/pontault-combault/"/>
    <hyperlink ref="M20" r:id="rId14" display="https://saykito.github.io/Portfolio/candidature/bruitparif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7" t="s">
        <v>10</v>
      </c>
      <c r="B3" s="7" t="s">
        <v>106</v>
      </c>
    </row>
    <row r="4" customFormat="false" ht="15" hidden="false" customHeight="false" outlineLevel="0" collapsed="false">
      <c r="A4" s="8" t="s">
        <v>107</v>
      </c>
      <c r="B4" s="8" t="n">
        <f aca="false">COUNTIF(Suivi!$I$5:$I$50,A4)</f>
        <v>0</v>
      </c>
    </row>
    <row r="5" customFormat="false" ht="15" hidden="false" customHeight="false" outlineLevel="0" collapsed="false">
      <c r="A5" s="8" t="s">
        <v>51</v>
      </c>
      <c r="B5" s="8" t="n">
        <f aca="false">COUNTIF(Suivi!$I$5:$I$50,A5)</f>
        <v>4</v>
      </c>
    </row>
    <row r="6" customFormat="false" ht="15" hidden="false" customHeight="false" outlineLevel="0" collapsed="false">
      <c r="A6" s="8" t="s">
        <v>21</v>
      </c>
      <c r="B6" s="8" t="n">
        <f aca="false">COUNTIF(Suivi!$I$5:$I$50,A6)</f>
        <v>8</v>
      </c>
    </row>
    <row r="7" customFormat="false" ht="15" hidden="false" customHeight="false" outlineLevel="0" collapsed="false">
      <c r="A7" s="8" t="s">
        <v>108</v>
      </c>
      <c r="B7" s="8" t="n">
        <f aca="false">COUNTIF(Suivi!$I$5:$I$50,A7)</f>
        <v>0</v>
      </c>
    </row>
    <row r="8" customFormat="false" ht="15" hidden="false" customHeight="false" outlineLevel="0" collapsed="false">
      <c r="A8" s="8" t="s">
        <v>62</v>
      </c>
      <c r="B8" s="8" t="n">
        <f aca="false">COUNTIF(Suivi!$I$5:$I$50,A8)</f>
        <v>1</v>
      </c>
    </row>
    <row r="9" customFormat="false" ht="15" hidden="false" customHeight="false" outlineLevel="0" collapsed="false">
      <c r="A9" s="8" t="s">
        <v>109</v>
      </c>
      <c r="B9" s="8" t="n">
        <f aca="false">COUNTIF(Suivi!$I$5:$I$50,A9)</f>
        <v>0</v>
      </c>
    </row>
    <row r="10" customFormat="false" ht="15" hidden="false" customHeight="false" outlineLevel="0" collapsed="false">
      <c r="A10" s="8" t="s">
        <v>78</v>
      </c>
      <c r="B10" s="8" t="n">
        <f aca="false">COUNTIF(Suivi!$I$5:$I$50,A10)</f>
        <v>1</v>
      </c>
    </row>
    <row r="11" customFormat="false" ht="15" hidden="false" customHeight="false" outlineLevel="0" collapsed="false">
      <c r="A11" s="8" t="s">
        <v>30</v>
      </c>
      <c r="B11" s="8" t="n">
        <f aca="false">COUNTIF(Suivi!$I$5:$I$50,A11)</f>
        <v>2</v>
      </c>
    </row>
    <row r="12" customFormat="false" ht="15" hidden="false" customHeight="false" outlineLevel="0" collapsed="false">
      <c r="A12" s="9" t="s">
        <v>110</v>
      </c>
      <c r="B12" s="9" t="n">
        <f aca="false">SUM(B4:B11)</f>
        <v>16</v>
      </c>
    </row>
    <row r="14" customFormat="false" ht="15" hidden="false" customHeight="false" outlineLevel="0" collapsed="false">
      <c r="A14" s="8" t="s">
        <v>111</v>
      </c>
      <c r="B14" s="8" t="n">
        <f aca="false">COUNTA(Suivi!$H$5:$H$50)</f>
        <v>10</v>
      </c>
    </row>
    <row r="15" customFormat="false" ht="15" hidden="false" customHeight="false" outlineLevel="0" collapsed="false">
      <c r="A15" s="8" t="s">
        <v>112</v>
      </c>
      <c r="B15" s="8" t="n">
        <f aca="false">COUNTIF(Suivi!$I$5:$I$50,"En cours")+COUNTIF(Suivi!$I$5:$I$50,"Entretien")+COUNTIF(Suivi!$I$5:$I$50,"Refus")</f>
        <v>2</v>
      </c>
    </row>
    <row r="17" customFormat="false" ht="15" hidden="false" customHeight="false" outlineLevel="0" collapsed="false">
      <c r="A17" s="1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2026-10-29T14:28:21Z</dcterms:created>
  <dc:creator>openpyxl</dc:creator>
  <dc:description/>
  <dc:language>en-US</dc:language>
  <cp:lastModifiedBy/>
  <dcterms:modified xsi:type="dcterms:W3CDTF">2026-10-29T14:28:21Z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